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1D4FDF11-36F3-4A66-8791-29A181167544}" xr6:coauthVersionLast="47" xr6:coauthVersionMax="47" xr10:uidLastSave="{00000000-0000-0000-0000-000000000000}"/>
  <bookViews>
    <workbookView xWindow="2640" yWindow="2640" windowWidth="15375" windowHeight="8325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ashboard" sheetId="5" r:id="rId4"/>
  </sheets>
  <definedNames>
    <definedName name="SegmentaçãodeDados_Subscription_Type1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5" l="1"/>
  <c r="D3" i="5"/>
  <c r="E44" i="3"/>
  <c r="E33" i="3"/>
</calcChain>
</file>

<file path=xl/sharedStrings.xml><?xml version="1.0" encoding="utf-8"?>
<sst xmlns="http://schemas.openxmlformats.org/spreadsheetml/2006/main" count="2031" uniqueCount="326">
  <si>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</si>
  <si>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</si>
  <si>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</si>
  <si>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</si>
  <si>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</si>
  <si>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</si>
  <si>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</si>
  <si>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</si>
  <si>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</si>
  <si>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</si>
  <si>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</si>
  <si>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</si>
  <si>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</si>
  <si>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</si>
  <si>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</si>
  <si>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</si>
  <si>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</si>
  <si>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</si>
  <si>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</si>
  <si>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</si>
  <si>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</si>
  <si>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</si>
  <si>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</si>
  <si>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</si>
  <si>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</si>
  <si>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</si>
  <si>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</si>
  <si>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</si>
  <si>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</si>
  <si>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</si>
  <si>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</si>
  <si>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</si>
  <si>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</si>
  <si>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</si>
  <si>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</si>
  <si>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</si>
  <si>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</si>
  <si>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</si>
  <si>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</si>
  <si>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</si>
  <si>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</si>
  <si>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</si>
  <si>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</si>
  <si>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</si>
  <si>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</si>
  <si>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</si>
  <si>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</si>
  <si>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</si>
  <si>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</si>
  <si>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</si>
  <si>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</si>
  <si>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</si>
  <si>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</si>
  <si>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</si>
  <si>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</si>
  <si>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</si>
  <si>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</si>
  <si>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</si>
  <si>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</si>
  <si>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</si>
  <si>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</si>
  <si>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</si>
  <si>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</si>
  <si>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</si>
  <si>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</si>
  <si>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</si>
  <si>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</si>
  <si>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</si>
  <si>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</si>
  <si>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</si>
  <si>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</si>
  <si>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</si>
  <si>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</si>
  <si>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</si>
  <si>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</si>
  <si>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</si>
  <si>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</si>
  <si>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</si>
  <si>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</si>
  <si>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</si>
  <si>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</si>
  <si>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</si>
  <si>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</si>
  <si>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</si>
  <si>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</si>
  <si>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</si>
  <si>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</si>
  <si>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</si>
  <si>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</si>
  <si>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</si>
  <si>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</si>
  <si>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</si>
  <si>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</si>
  <si>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</si>
  <si>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</si>
  <si>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</si>
  <si>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</si>
  <si>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</si>
  <si>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</si>
  <si>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</si>
  <si>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</si>
  <si>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</si>
  <si>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</si>
  <si>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</si>
  <si>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</si>
  <si>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</si>
  <si>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</si>
  <si>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</si>
  <si>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</si>
  <si>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</si>
  <si>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</si>
  <si>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</si>
  <si>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</si>
  <si>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</si>
  <si>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</si>
  <si>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</si>
  <si>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</si>
  <si>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</si>
  <si>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</si>
  <si>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</si>
  <si>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</si>
  <si>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</si>
  <si>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</si>
  <si>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</si>
  <si>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</si>
  <si>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</si>
  <si>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</si>
  <si>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</si>
  <si>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</si>
  <si>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</si>
  <si>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</si>
  <si>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</si>
  <si>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</si>
  <si>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</si>
  <si>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</si>
  <si>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</si>
  <si>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</si>
  <si>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</si>
  <si>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</si>
  <si>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</si>
  <si>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</si>
  <si>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</si>
  <si>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</si>
  <si>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</si>
  <si>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</si>
  <si>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</si>
  <si>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</si>
  <si>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</si>
  <si>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</si>
  <si>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</si>
  <si>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</si>
  <si>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</si>
  <si>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</si>
  <si>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</si>
  <si>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</si>
  <si>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</si>
  <si>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</si>
  <si>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</si>
  <si>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</si>
  <si>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</si>
  <si>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</si>
  <si>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</si>
  <si>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</si>
  <si>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</si>
  <si>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</si>
  <si>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</si>
  <si>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</si>
  <si>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</si>
  <si>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</si>
  <si>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</si>
  <si>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</si>
  <si>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</si>
  <si>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</si>
  <si>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</si>
  <si>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</si>
  <si>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</si>
  <si>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</si>
  <si>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</si>
  <si>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</si>
  <si>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</si>
  <si>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</si>
  <si>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</si>
  <si>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</si>
  <si>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</si>
  <si>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</si>
  <si>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</si>
  <si>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</si>
  <si>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</si>
  <si>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</si>
  <si>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</si>
  <si>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</si>
  <si>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</si>
  <si>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</si>
  <si>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</si>
  <si>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</si>
  <si>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</si>
  <si>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</si>
  <si>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</si>
  <si>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</si>
  <si>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</si>
  <si>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</si>
  <si>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</si>
  <si>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</si>
  <si>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</si>
  <si>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</si>
  <si>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</si>
  <si>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</si>
  <si>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</si>
  <si>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</si>
  <si>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</si>
  <si>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</si>
  <si>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</si>
  <si>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</si>
  <si>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</si>
  <si>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</si>
  <si>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</si>
  <si>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</si>
  <si>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</si>
  <si>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</si>
  <si>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</si>
  <si>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</si>
  <si>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</si>
  <si>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</si>
  <si>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</si>
  <si>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</si>
  <si>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</si>
  <si>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</si>
  <si>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</si>
  <si>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</si>
  <si>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</si>
  <si>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</si>
  <si>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</si>
  <si>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</si>
  <si>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</si>
  <si>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</si>
  <si>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</si>
  <si>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</si>
  <si>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</si>
  <si>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</si>
  <si>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</si>
  <si>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</si>
  <si>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</si>
  <si>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</si>
  <si>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</si>
  <si>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</si>
  <si>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</si>
  <si>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</si>
  <si>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</si>
  <si>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</si>
  <si>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</si>
  <si>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</si>
  <si>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</si>
  <si>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</si>
  <si>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</si>
  <si>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</si>
  <si>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</si>
  <si>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</si>
  <si>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</si>
  <si>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</si>
  <si>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</si>
  <si>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</si>
  <si>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</si>
  <si>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</si>
  <si>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</si>
  <si>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</si>
  <si>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</si>
  <si>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</si>
  <si>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</si>
  <si>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</si>
  <si>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</si>
  <si>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</si>
  <si>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</si>
  <si>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</si>
  <si>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</si>
  <si>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</si>
  <si>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</si>
  <si>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</si>
  <si>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</si>
  <si>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</si>
  <si>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</si>
  <si>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</si>
  <si>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</si>
  <si>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</si>
  <si>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</si>
  <si>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</si>
  <si>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</si>
  <si>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</si>
  <si>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</si>
  <si>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</si>
  <si>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</si>
  <si>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</si>
  <si>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</si>
  <si>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</si>
  <si>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</si>
  <si>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</si>
  <si>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</si>
  <si>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</si>
  <si>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</si>
  <si>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</si>
  <si>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</si>
  <si>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</si>
  <si>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</si>
  <si>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</si>
  <si>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</si>
  <si>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</si>
  <si>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</si>
  <si>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</si>
  <si>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</si>
  <si>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</si>
  <si>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</si>
  <si>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</si>
  <si>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</si>
  <si>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</si>
  <si>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específica.</t>
  </si>
  <si>
    <t>Rótulos de Linha</t>
  </si>
  <si>
    <t>Total Geral</t>
  </si>
  <si>
    <t>Soma de Total Value</t>
  </si>
  <si>
    <r>
      <t xml:space="preserve">Pergunta de Negócio 1 - Qual é o faturamento </t>
    </r>
    <r>
      <rPr>
        <b/>
        <sz val="12"/>
        <color theme="1"/>
        <rFont val="Arial"/>
        <family val="2"/>
      </rPr>
      <t>total de vendas</t>
    </r>
    <r>
      <rPr>
        <sz val="12"/>
        <color theme="1"/>
        <rFont val="Arial"/>
        <family val="2"/>
      </rPr>
      <t xml:space="preserve"> de </t>
    </r>
    <r>
      <rPr>
        <b/>
        <sz val="12"/>
        <color theme="1"/>
        <rFont val="Arial"/>
        <family val="2"/>
      </rPr>
      <t>planos anuais</t>
    </r>
    <r>
      <rPr>
        <sz val="12"/>
        <color theme="1"/>
        <rFont val="Arial"/>
        <family val="2"/>
      </rPr>
      <t xml:space="preserve"> (contendo todas as assinaturas agregadas)</t>
    </r>
  </si>
  <si>
    <r>
      <t xml:space="preserve">Pergunta de Negócio 2 - Qual é o faturamento </t>
    </r>
    <r>
      <rPr>
        <b/>
        <sz val="12"/>
        <color theme="1"/>
        <rFont val="Arial"/>
        <family val="2"/>
      </rPr>
      <t>total de vendas</t>
    </r>
    <r>
      <rPr>
        <sz val="12"/>
        <color theme="1"/>
        <rFont val="Arial"/>
        <family val="2"/>
      </rPr>
      <t xml:space="preserve"> de </t>
    </r>
    <r>
      <rPr>
        <b/>
        <sz val="12"/>
        <color theme="1"/>
        <rFont val="Arial"/>
        <family val="2"/>
      </rPr>
      <t>planos anuais</t>
    </r>
    <r>
      <rPr>
        <sz val="12"/>
        <color theme="1"/>
        <rFont val="Arial"/>
        <family val="2"/>
      </rPr>
      <t xml:space="preserve"> (separado por auto renovação ou que não é por auto renovação)</t>
    </r>
  </si>
  <si>
    <t>XBOX GAME PASS SUBSCRIPTIONS SALES</t>
  </si>
  <si>
    <r>
      <t xml:space="preserve">Pergunta de Negócio 3  - Qual é o faturamento </t>
    </r>
    <r>
      <rPr>
        <b/>
        <sz val="12"/>
        <color theme="1"/>
        <rFont val="Arial"/>
        <family val="2"/>
      </rPr>
      <t>total de vendas</t>
    </r>
    <r>
      <rPr>
        <sz val="12"/>
        <color theme="1"/>
        <rFont val="Arial"/>
        <family val="2"/>
      </rPr>
      <t xml:space="preserve"> de </t>
    </r>
    <r>
      <rPr>
        <b/>
        <sz val="12"/>
        <color theme="1"/>
        <rFont val="Arial"/>
        <family val="2"/>
      </rPr>
      <t xml:space="preserve">assinaturas do EA Play </t>
    </r>
  </si>
  <si>
    <t>Soma de EA Play Season Pass</t>
  </si>
  <si>
    <r>
      <t xml:space="preserve">Pergunta de Negócio 4  - Qual é o faturamento </t>
    </r>
    <r>
      <rPr>
        <b/>
        <sz val="12"/>
        <color theme="1"/>
        <rFont val="Arial"/>
        <family val="2"/>
      </rPr>
      <t>total de vendas</t>
    </r>
    <r>
      <rPr>
        <sz val="12"/>
        <color theme="1"/>
        <rFont val="Arial"/>
        <family val="2"/>
      </rPr>
      <t xml:space="preserve"> de </t>
    </r>
    <r>
      <rPr>
        <b/>
        <sz val="12"/>
        <color theme="1"/>
        <rFont val="Arial"/>
        <family val="2"/>
      </rPr>
      <t>assinaturas do Minecraft Season Pass</t>
    </r>
  </si>
  <si>
    <t>Soma de Minecraft Season Pass Price</t>
  </si>
  <si>
    <t>Reporting Period:</t>
  </si>
  <si>
    <t>Last Update: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</si>
</sst>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9C5700"/>
      <name val="Aptos Narrow"/>
      <scheme val="minor"/>
    </font>
    <font>
      <sz val="12"/>
      <color theme="0" tint="-4.9989318521683403E-2"/>
      <name val="Arial"/>
      <family val="2"/>
    </font>
    <font>
      <sz val="12"/>
      <color theme="2"/>
      <name val="Arial"/>
      <family val="2"/>
    </font>
    <font>
      <sz val="12"/>
      <color theme="9" tint="0.59999389629810485"/>
      <name val="Arial"/>
      <family val="2"/>
    </font>
    <font>
      <b/>
      <sz val="15"/>
      <color theme="6" tint="-0.499984740745262"/>
      <name val="Segoe UI"/>
      <family val="2"/>
    </font>
    <font>
      <b/>
      <sz val="10"/>
      <color theme="6" tint="-0.499984740745262"/>
      <name val="Segoe UI"/>
      <family val="2"/>
    </font>
    <font>
      <b/>
      <sz val="16"/>
      <color theme="6" tint="-0.499984740745262"/>
      <name val="Segoe UI"/>
      <family val="2"/>
    </font>
    <font>
      <b/>
      <sz val="10"/>
      <color rgb="FF22C55E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9"/>
      </right>
      <top/>
      <bottom/>
      <diagonal/>
    </border>
    <border>
      <left/>
      <right/>
      <top/>
      <bottom style="double">
        <color theme="6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2" fillId="8" borderId="2" applyNumberFormat="0" applyFont="0" applyAlignment="0" applyProtection="0"/>
  </cellStyleXfs>
  <cellXfs count="3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0" fontId="4" fillId="0" borderId="0" xfId="0" applyFont="1"/>
    <xf numFmtId="0" fontId="4" fillId="0" borderId="0" xfId="0" pivotButton="1" applyFont="1"/>
    <xf numFmtId="164" fontId="4" fillId="0" borderId="0" xfId="0" applyNumberFormat="1" applyFont="1"/>
    <xf numFmtId="0" fontId="4" fillId="0" borderId="0" xfId="0" applyFont="1" applyAlignment="1">
      <alignment horizontal="left"/>
    </xf>
    <xf numFmtId="0" fontId="4" fillId="7" borderId="0" xfId="0" applyFont="1" applyFill="1"/>
    <xf numFmtId="0" fontId="4" fillId="4" borderId="3" xfId="0" applyFont="1" applyFill="1" applyBorder="1"/>
    <xf numFmtId="0" fontId="4" fillId="0" borderId="0" xfId="0" applyNumberFormat="1" applyFont="1"/>
    <xf numFmtId="44" fontId="4" fillId="0" borderId="0" xfId="2" applyFont="1"/>
    <xf numFmtId="0" fontId="4" fillId="9" borderId="0" xfId="0" applyFont="1" applyFill="1"/>
    <xf numFmtId="0" fontId="8" fillId="9" borderId="0" xfId="0" applyFont="1" applyFill="1" applyBorder="1"/>
    <xf numFmtId="0" fontId="7" fillId="9" borderId="0" xfId="0" applyFont="1" applyFill="1"/>
    <xf numFmtId="0" fontId="9" fillId="9" borderId="0" xfId="0" applyFont="1" applyFill="1" applyBorder="1"/>
    <xf numFmtId="164" fontId="9" fillId="9" borderId="0" xfId="0" applyNumberFormat="1" applyFont="1" applyFill="1" applyBorder="1"/>
    <xf numFmtId="0" fontId="9" fillId="9" borderId="0" xfId="0" applyFont="1" applyFill="1" applyBorder="1" applyAlignment="1">
      <alignment horizontal="left"/>
    </xf>
    <xf numFmtId="0" fontId="10" fillId="0" borderId="0" xfId="1" applyFont="1" applyBorder="1" applyAlignment="1">
      <alignment horizontal="center"/>
    </xf>
    <xf numFmtId="0" fontId="11" fillId="0" borderId="0" xfId="1" applyFont="1" applyBorder="1" applyAlignment="1">
      <alignment horizontal="center" vertical="top"/>
    </xf>
    <xf numFmtId="0" fontId="13" fillId="0" borderId="0" xfId="1" applyFont="1" applyFill="1" applyBorder="1" applyAlignment="1">
      <alignment horizontal="right" vertical="top"/>
    </xf>
    <xf numFmtId="0" fontId="13" fillId="0" borderId="0" xfId="1" applyFont="1" applyFill="1" applyBorder="1" applyAlignment="1">
      <alignment horizontal="left" vertical="top"/>
    </xf>
    <xf numFmtId="14" fontId="13" fillId="0" borderId="0" xfId="1" applyNumberFormat="1" applyFont="1" applyFill="1" applyBorder="1" applyAlignment="1">
      <alignment horizontal="left" vertical="top"/>
    </xf>
    <xf numFmtId="0" fontId="6" fillId="8" borderId="2" xfId="3" applyFont="1" applyAlignment="1">
      <alignment horizontal="left" vertical="top"/>
    </xf>
    <xf numFmtId="0" fontId="4" fillId="0" borderId="0" xfId="0" applyFont="1" applyAlignment="1">
      <alignment horizontal="left"/>
    </xf>
    <xf numFmtId="0" fontId="12" fillId="0" borderId="4" xfId="1" applyFont="1" applyBorder="1" applyAlignment="1">
      <alignment horizontal="center"/>
    </xf>
  </cellXfs>
  <cellStyles count="4">
    <cellStyle name="Moeda" xfId="2" builtinId="4"/>
    <cellStyle name="Normal" xfId="0" builtinId="0"/>
    <cellStyle name="Nota" xfId="3" builtinId="10"/>
    <cellStyle name="Título 1" xfId="1" builtinId="16"/>
  </cellStyles>
  <dxfs count="112">
    <dxf>
      <font>
        <color theme="9" tint="0.59999389629810485"/>
      </font>
    </dxf>
    <dxf>
      <font>
        <color theme="9" tint="0.59999389629810485"/>
      </font>
    </dxf>
    <dxf>
      <font>
        <color theme="9" tint="0.59999389629810485"/>
      </font>
    </dxf>
    <dxf>
      <font>
        <color theme="9" tint="0.59999389629810485"/>
      </font>
    </dxf>
    <dxf>
      <font>
        <color theme="9" tint="0.59999389629810485"/>
      </font>
    </dxf>
    <dxf>
      <font>
        <color theme="9" tint="0.59999389629810485"/>
      </font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2"/>
      </font>
    </dxf>
    <dxf>
      <fill>
        <patternFill>
          <bgColor rgb="FFE8E6E9"/>
        </patternFill>
      </fill>
    </dxf>
    <dxf>
      <fill>
        <patternFill>
          <bgColor rgb="FFE8E6E9"/>
        </patternFill>
      </fill>
    </dxf>
    <dxf>
      <fill>
        <patternFill>
          <bgColor rgb="FFE8E6E9"/>
        </patternFill>
      </fill>
    </dxf>
    <dxf>
      <fill>
        <patternFill>
          <bgColor rgb="FFE8E6E9"/>
        </patternFill>
      </fill>
    </dxf>
    <dxf>
      <fill>
        <patternFill>
          <bgColor rgb="FFE8E6E9"/>
        </patternFill>
      </fill>
    </dxf>
    <dxf>
      <fill>
        <patternFill>
          <bgColor rgb="FFE8E6E9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ill>
        <patternFill patternType="solid">
          <bgColor rgb="FFE8E6E9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numFmt numFmtId="164" formatCode="&quot;R$&quot;\ #,##0.00"/>
    </dxf>
    <dxf>
      <numFmt numFmtId="164" formatCode="&quot;R$&quot;\ #,##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numFmt numFmtId="164" formatCode="&quot;R$&quot;\ #,##0.00"/>
    </dxf>
    <dxf>
      <numFmt numFmtId="164" formatCode="&quot;R$&quot;\ #,##0.00"/>
    </dxf>
    <dxf>
      <numFmt numFmtId="0" formatCode="General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font>
        <name val="Arial"/>
        <family val="2"/>
        <scheme val="none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1"/>
        <name val="Segoe UI Black"/>
        <family val="2"/>
        <scheme val="none"/>
      </font>
      <border>
        <left/>
        <right/>
        <top/>
        <bottom style="thick">
          <color theme="6"/>
        </bottom>
        <vertical/>
        <horizontal/>
      </border>
    </dxf>
    <dxf>
      <font>
        <color theme="1"/>
      </font>
      <fill>
        <patternFill patternType="solid"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3D93031D-CBA6-479F-8409-196A8C630285}">
      <tableStyleElement type="wholeTable" dxfId="111"/>
      <tableStyleElement type="headerRow" dxfId="110"/>
    </tableStyle>
  </tableStyles>
  <colors>
    <mruColors>
      <color rgb="FF22C55E"/>
      <color rgb="FFC0C0C0"/>
      <color rgb="FFE0E0E0"/>
      <color rgb="FFE8E6E9"/>
      <color rgb="FF5BF6A8"/>
      <color rgb="FF00000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  <name val="Franklin Gothic Book"/>
            <family val="2"/>
            <scheme val="none"/>
          </font>
          <fill>
            <gradientFill degree="90">
              <stop position="0">
                <color theme="9" tint="0.59999389629810485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Franklin Gothic Book"/>
            <family val="2"/>
            <scheme val="none"/>
          </font>
          <fill>
            <gradientFill degree="90">
              <stop position="0">
                <color theme="9" tint="0.59999389629810485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Franklin Gothic Book"/>
            <family val="2"/>
            <scheme val="none"/>
          </font>
          <fill>
            <gradientFill degree="270">
              <stop position="0">
                <color theme="0"/>
              </stop>
              <stop position="1">
                <color theme="9" tint="0.40000610370189521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  <name val="Franklin Gothic Book"/>
            <family val="2"/>
            <scheme val="none"/>
          </font>
          <fill>
            <gradientFill degree="90">
              <stop position="0">
                <color theme="9" tint="0.59999389629810485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 tint="0.34998626667073579"/>
            <name val="Franklin Gothic Book"/>
            <family val="2"/>
            <scheme val="none"/>
          </font>
          <fill>
            <patternFill patternType="solid">
              <fgColor theme="0" tint="-0.14996795556505021"/>
              <bgColor theme="0" tint="-0.149967955565050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  <name val="Franklin Gothic Demi"/>
            <family val="2"/>
            <scheme val="none"/>
          </font>
          <fill>
            <patternFill patternType="solid">
              <fgColor theme="9" tint="0.59999389629810485"/>
              <bgColor theme="6"/>
            </patternFill>
          </fill>
          <border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  <name val="Franklin Gothic Book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- XBOX.xlsx]C̳álculos!Tabela dinâmica1</c:name>
    <c:fmtId val="0"/>
  </c:pivotSource>
  <c:chart>
    <c:autoTitleDeleted val="1"/>
    <c:pivotFmts>
      <c:pivotFmt>
        <c:idx val="0"/>
        <c:spPr>
          <a:gradFill flip="none" rotWithShape="1">
            <a:gsLst>
              <a:gs pos="0">
                <a:srgbClr val="22C55E">
                  <a:tint val="66000"/>
                  <a:satMod val="160000"/>
                </a:srgbClr>
              </a:gs>
              <a:gs pos="50000">
                <a:srgbClr val="22C55E">
                  <a:tint val="44500"/>
                  <a:satMod val="160000"/>
                </a:srgbClr>
              </a:gs>
              <a:gs pos="100000">
                <a:srgbClr val="22C55E">
                  <a:tint val="23500"/>
                  <a:satMod val="160000"/>
                </a:srgb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rgbClr val="22C55E">
                    <a:tint val="66000"/>
                    <a:satMod val="160000"/>
                  </a:srgbClr>
                </a:gs>
                <a:gs pos="50000">
                  <a:srgbClr val="22C55E">
                    <a:tint val="44500"/>
                    <a:satMod val="160000"/>
                  </a:srgbClr>
                </a:gs>
                <a:gs pos="100000">
                  <a:srgbClr val="22C55E">
                    <a:tint val="23500"/>
                    <a:satMod val="160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F-43A0-9777-9AEF1F9B0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16423135"/>
        <c:axId val="1616423967"/>
      </c:barChart>
      <c:catAx>
        <c:axId val="161642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6423967"/>
        <c:crosses val="autoZero"/>
        <c:auto val="1"/>
        <c:lblAlgn val="ctr"/>
        <c:lblOffset val="100"/>
        <c:noMultiLvlLbl val="0"/>
      </c:catAx>
      <c:valAx>
        <c:axId val="161642396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61642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 de Vendas - XBOX.xlsx]Dashboard!Tabela dinâmica1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1.3106923964309703E-16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3"/>
              </a:gs>
              <a:gs pos="75000">
                <a:schemeClr val="accent3">
                  <a:lumMod val="60000"/>
                  <a:lumOff val="40000"/>
                </a:schemeClr>
              </a:gs>
              <a:gs pos="51000">
                <a:schemeClr val="accent3">
                  <a:alpha val="75000"/>
                </a:schemeClr>
              </a:gs>
              <a:gs pos="100000">
                <a:schemeClr val="accent3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080644639411587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278849011540675E-2"/>
          <c:y val="0.1184166699974686"/>
          <c:w val="0.9111384201122199"/>
          <c:h val="0.876113548096454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Dashboard!$D$14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236-4F23-872B-8FEAA5530C3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236-4F23-872B-8FEAA5530C3E}"/>
              </c:ext>
            </c:extLst>
          </c:dPt>
          <c:dLbls>
            <c:dLbl>
              <c:idx val="0"/>
              <c:layout>
                <c:manualLayout>
                  <c:x val="-2.080644639411587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36-4F23-872B-8FEAA5530C3E}"/>
                </c:ext>
              </c:extLst>
            </c:dLbl>
            <c:dLbl>
              <c:idx val="1"/>
              <c:layout>
                <c:manualLayout>
                  <c:x val="-1.3106923964309703E-16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36-4F23-872B-8FEAA5530C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3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Dashboard!$C$15:$C$17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Dashboard!$D$15:$D$17</c:f>
              <c:numCache>
                <c:formatCode>"R$"\ #,##0.00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6-4F23-872B-8FEAA5530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616423135"/>
        <c:axId val="1616423967"/>
      </c:barChart>
      <c:catAx>
        <c:axId val="161642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6">
                    <a:lumMod val="20000"/>
                    <a:lumOff val="8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616423967"/>
        <c:crosses val="autoZero"/>
        <c:auto val="1"/>
        <c:lblAlgn val="ctr"/>
        <c:lblOffset val="100"/>
        <c:noMultiLvlLbl val="0"/>
      </c:catAx>
      <c:valAx>
        <c:axId val="1616423967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616423135"/>
        <c:crosses val="autoZero"/>
        <c:crossBetween val="between"/>
      </c:valAx>
      <c:spPr>
        <a:solidFill>
          <a:schemeClr val="accent3">
            <a:lumMod val="5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7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381000</xdr:colOff>
      <xdr:row>12</xdr:row>
      <xdr:rowOff>138302</xdr:rowOff>
    </xdr:from>
    <xdr:to>
      <xdr:col>3</xdr:col>
      <xdr:colOff>600076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471927"/>
          <a:ext cx="1590676" cy="433198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15</xdr:row>
      <xdr:rowOff>47625</xdr:rowOff>
    </xdr:from>
    <xdr:to>
      <xdr:col>5</xdr:col>
      <xdr:colOff>295275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933700"/>
          <a:ext cx="2933700" cy="974598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13</xdr:row>
      <xdr:rowOff>19050</xdr:rowOff>
    </xdr:from>
    <xdr:to>
      <xdr:col>13</xdr:col>
      <xdr:colOff>371475</xdr:colOff>
      <xdr:row>14</xdr:row>
      <xdr:rowOff>142875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534400" y="2543175"/>
          <a:ext cx="342900" cy="304800"/>
        </a:xfrm>
        <a:prstGeom prst="rect">
          <a:avLst/>
        </a:prstGeom>
      </xdr:spPr>
    </xdr:pic>
    <xdr:clientData/>
  </xdr:twoCellAnchor>
  <xdr:twoCellAnchor>
    <xdr:from>
      <xdr:col>9</xdr:col>
      <xdr:colOff>76201</xdr:colOff>
      <xdr:row>12</xdr:row>
      <xdr:rowOff>133350</xdr:rowOff>
    </xdr:from>
    <xdr:to>
      <xdr:col>10</xdr:col>
      <xdr:colOff>142875</xdr:colOff>
      <xdr:row>16</xdr:row>
      <xdr:rowOff>85725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838826" y="2466975"/>
          <a:ext cx="752474" cy="68580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457200</xdr:colOff>
      <xdr:row>12</xdr:row>
      <xdr:rowOff>142875</xdr:rowOff>
    </xdr:from>
    <xdr:to>
      <xdr:col>11</xdr:col>
      <xdr:colOff>552449</xdr:colOff>
      <xdr:row>16</xdr:row>
      <xdr:rowOff>85725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905625" y="2476500"/>
          <a:ext cx="781049" cy="67627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352425</xdr:colOff>
      <xdr:row>22</xdr:row>
      <xdr:rowOff>1</xdr:rowOff>
    </xdr:from>
    <xdr:to>
      <xdr:col>3</xdr:col>
      <xdr:colOff>532647</xdr:colOff>
      <xdr:row>29</xdr:row>
      <xdr:rowOff>171450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4152901"/>
          <a:ext cx="1551822" cy="1438274"/>
        </a:xfrm>
        <a:prstGeom prst="rect">
          <a:avLst/>
        </a:prstGeom>
      </xdr:spPr>
    </xdr:pic>
    <xdr:clientData/>
  </xdr:twoCellAnchor>
  <xdr:twoCellAnchor editAs="absolute">
    <xdr:from>
      <xdr:col>4</xdr:col>
      <xdr:colOff>533399</xdr:colOff>
      <xdr:row>22</xdr:row>
      <xdr:rowOff>114299</xdr:rowOff>
    </xdr:from>
    <xdr:to>
      <xdr:col>7</xdr:col>
      <xdr:colOff>295274</xdr:colOff>
      <xdr:row>26</xdr:row>
      <xdr:rowOff>123825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3276599" y="4267199"/>
          <a:ext cx="1819275" cy="73342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514353</xdr:colOff>
      <xdr:row>20</xdr:row>
      <xdr:rowOff>85725</xdr:rowOff>
    </xdr:from>
    <xdr:to>
      <xdr:col>10</xdr:col>
      <xdr:colOff>571501</xdr:colOff>
      <xdr:row>24</xdr:row>
      <xdr:rowOff>76200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AB1752F-D18B-4621-B972-C90CB35624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7651"/>
        <a:stretch/>
      </xdr:blipFill>
      <xdr:spPr>
        <a:xfrm>
          <a:off x="6276978" y="3876675"/>
          <a:ext cx="742948" cy="714375"/>
        </a:xfrm>
        <a:prstGeom prst="rect">
          <a:avLst/>
        </a:prstGeom>
      </xdr:spPr>
    </xdr:pic>
    <xdr:clientData/>
  </xdr:twoCellAnchor>
  <xdr:twoCellAnchor editAs="oneCell">
    <xdr:from>
      <xdr:col>10</xdr:col>
      <xdr:colOff>619125</xdr:colOff>
      <xdr:row>20</xdr:row>
      <xdr:rowOff>38100</xdr:rowOff>
    </xdr:from>
    <xdr:to>
      <xdr:col>11</xdr:col>
      <xdr:colOff>676273</xdr:colOff>
      <xdr:row>24</xdr:row>
      <xdr:rowOff>28575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CE1A5A4D-53DC-4CB5-81F7-6B6DA01CA7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81" t="-5333" r="670" b="5333"/>
        <a:stretch/>
      </xdr:blipFill>
      <xdr:spPr>
        <a:xfrm>
          <a:off x="7067550" y="3829050"/>
          <a:ext cx="742948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271462</xdr:colOff>
      <xdr:row>6</xdr:row>
      <xdr:rowOff>176212</xdr:rowOff>
    </xdr:from>
    <xdr:to>
      <xdr:col>6</xdr:col>
      <xdr:colOff>576262</xdr:colOff>
      <xdr:row>21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FC7C09-833E-41FE-B965-E37BBA5C3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685799</xdr:colOff>
      <xdr:row>13</xdr:row>
      <xdr:rowOff>76201</xdr:rowOff>
    </xdr:from>
    <xdr:to>
      <xdr:col>2</xdr:col>
      <xdr:colOff>1600200</xdr:colOff>
      <xdr:row>21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53F840B3-D8AD-4001-84EA-F147254258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799" y="2571751"/>
              <a:ext cx="3095626" cy="14954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</xdr:row>
      <xdr:rowOff>0</xdr:rowOff>
    </xdr:from>
    <xdr:to>
      <xdr:col>16384</xdr:col>
      <xdr:colOff>304800</xdr:colOff>
      <xdr:row>7</xdr:row>
      <xdr:rowOff>104775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2F87AE8-408B-408C-B0B9-3C5F4F5B3D9C}"/>
            </a:ext>
          </a:extLst>
        </xdr:cNvPr>
        <xdr:cNvSpPr>
          <a:spLocks noChangeAspect="1" noChangeArrowheads="1"/>
        </xdr:cNvSpPr>
      </xdr:nvSpPr>
      <xdr:spPr bwMode="auto">
        <a:xfrm>
          <a:off x="17526000" y="9715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6</xdr:row>
      <xdr:rowOff>0</xdr:rowOff>
    </xdr:from>
    <xdr:to>
      <xdr:col>16384</xdr:col>
      <xdr:colOff>304800</xdr:colOff>
      <xdr:row>7</xdr:row>
      <xdr:rowOff>104775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5A091D6-628C-4495-98C6-9C19769B88C9}"/>
            </a:ext>
          </a:extLst>
        </xdr:cNvPr>
        <xdr:cNvSpPr>
          <a:spLocks noChangeAspect="1" noChangeArrowheads="1"/>
        </xdr:cNvSpPr>
      </xdr:nvSpPr>
      <xdr:spPr bwMode="auto">
        <a:xfrm>
          <a:off x="19011900" y="97155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2028825</xdr:colOff>
      <xdr:row>21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 1">
              <a:extLst>
                <a:ext uri="{FF2B5EF4-FFF2-40B4-BE49-F238E27FC236}">
                  <a16:creationId xmlns:a16="http://schemas.microsoft.com/office/drawing/2014/main" id="{1ED355BF-4116-467A-9316-C179FAAF88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92111"/>
              <a:ext cx="2028825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581025</xdr:colOff>
      <xdr:row>0</xdr:row>
      <xdr:rowOff>47625</xdr:rowOff>
    </xdr:from>
    <xdr:to>
      <xdr:col>0</xdr:col>
      <xdr:colOff>1524000</xdr:colOff>
      <xdr:row>4</xdr:row>
      <xdr:rowOff>19049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C802AC7C-A112-4759-8780-B0D6C1C69FD6}"/>
            </a:ext>
          </a:extLst>
        </xdr:cNvPr>
        <xdr:cNvGrpSpPr/>
      </xdr:nvGrpSpPr>
      <xdr:grpSpPr>
        <a:xfrm>
          <a:off x="581025" y="47625"/>
          <a:ext cx="942975" cy="1001535"/>
          <a:chOff x="238125" y="0"/>
          <a:chExt cx="942975" cy="1019174"/>
        </a:xfrm>
      </xdr:grpSpPr>
      <xdr:pic>
        <xdr:nvPicPr>
          <xdr:cNvPr id="6" name="Imagem 5">
            <a:extLst>
              <a:ext uri="{FF2B5EF4-FFF2-40B4-BE49-F238E27FC236}">
                <a16:creationId xmlns:a16="http://schemas.microsoft.com/office/drawing/2014/main" id="{E7BD78A1-8357-4AF9-B54F-822436B9B07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77" t="12000" r="7646" b="-2000"/>
          <a:stretch/>
        </xdr:blipFill>
        <xdr:spPr>
          <a:xfrm>
            <a:off x="238125" y="590550"/>
            <a:ext cx="942975" cy="428624"/>
          </a:xfrm>
          <a:prstGeom prst="rect">
            <a:avLst/>
          </a:prstGeom>
        </xdr:spPr>
      </xdr:pic>
      <xdr:pic>
        <xdr:nvPicPr>
          <xdr:cNvPr id="7" name="Imagem 6">
            <a:extLst>
              <a:ext uri="{FF2B5EF4-FFF2-40B4-BE49-F238E27FC236}">
                <a16:creationId xmlns:a16="http://schemas.microsoft.com/office/drawing/2014/main" id="{61DBFBE5-6748-44C8-8E12-48A7D884316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008" r="71727"/>
          <a:stretch/>
        </xdr:blipFill>
        <xdr:spPr>
          <a:xfrm>
            <a:off x="419100" y="0"/>
            <a:ext cx="600076" cy="895349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9524</xdr:colOff>
      <xdr:row>3</xdr:row>
      <xdr:rowOff>85725</xdr:rowOff>
    </xdr:from>
    <xdr:to>
      <xdr:col>4</xdr:col>
      <xdr:colOff>838200</xdr:colOff>
      <xdr:row>10</xdr:row>
      <xdr:rowOff>47624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AC181DC-C2C0-44BF-9767-3C948A2DB1F8}"/>
            </a:ext>
          </a:extLst>
        </xdr:cNvPr>
        <xdr:cNvGrpSpPr/>
      </xdr:nvGrpSpPr>
      <xdr:grpSpPr>
        <a:xfrm>
          <a:off x="2267302" y="925336"/>
          <a:ext cx="3679120" cy="1295399"/>
          <a:chOff x="3038474" y="1066800"/>
          <a:chExt cx="3676651" cy="1295399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96054516-4DB9-4D58-A80B-5CFCA89EDDD0}"/>
              </a:ext>
            </a:extLst>
          </xdr:cNvPr>
          <xdr:cNvSpPr/>
        </xdr:nvSpPr>
        <xdr:spPr>
          <a:xfrm>
            <a:off x="3038474" y="1114425"/>
            <a:ext cx="3676650" cy="1190625"/>
          </a:xfrm>
          <a:prstGeom prst="roundRect">
            <a:avLst>
              <a:gd name="adj" fmla="val 8667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33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38E74C8E-D60D-4263-BD83-5214764C9867}"/>
              </a:ext>
            </a:extLst>
          </xdr:cNvPr>
          <xdr:cNvSpPr/>
        </xdr:nvSpPr>
        <xdr:spPr>
          <a:xfrm>
            <a:off x="4584012" y="1552575"/>
            <a:ext cx="2006317" cy="561975"/>
          </a:xfrm>
          <a:prstGeom prst="roundRect">
            <a:avLst>
              <a:gd name="adj" fmla="val 8667"/>
            </a:avLst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E977B04-F490-44C8-AD3A-C824FAE3556E}" type="TxLink">
              <a:rPr lang="en-US" sz="1600" b="0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R$ 1.350,00 </a:t>
            </a:fld>
            <a:endParaRPr lang="pt-BR" sz="1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053A5A24-7A3D-48F2-A9B7-A50E6940AA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00922" y="1338145"/>
            <a:ext cx="1113555" cy="1024054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006C71CF-8BA7-466B-BB68-0485EA77AFFE}"/>
              </a:ext>
            </a:extLst>
          </xdr:cNvPr>
          <xdr:cNvSpPr/>
        </xdr:nvSpPr>
        <xdr:spPr>
          <a:xfrm>
            <a:off x="3038476" y="1066800"/>
            <a:ext cx="3676649" cy="352425"/>
          </a:xfrm>
          <a:prstGeom prst="round2SameRect">
            <a:avLst/>
          </a:prstGeom>
          <a:solidFill>
            <a:schemeClr val="accent3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4</xdr:col>
      <xdr:colOff>981075</xdr:colOff>
      <xdr:row>3</xdr:row>
      <xdr:rowOff>85725</xdr:rowOff>
    </xdr:from>
    <xdr:to>
      <xdr:col>7</xdr:col>
      <xdr:colOff>390526</xdr:colOff>
      <xdr:row>9</xdr:row>
      <xdr:rowOff>180975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41410422-EF90-4AE6-9004-5E1DDC7E8006}"/>
            </a:ext>
          </a:extLst>
        </xdr:cNvPr>
        <xdr:cNvGrpSpPr/>
      </xdr:nvGrpSpPr>
      <xdr:grpSpPr>
        <a:xfrm>
          <a:off x="6089297" y="925336"/>
          <a:ext cx="3233562" cy="1238250"/>
          <a:chOff x="3048000" y="2314575"/>
          <a:chExt cx="3676651" cy="1238250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B891FE5A-AC0D-48B6-AA1C-1C4A0A9556C7}"/>
              </a:ext>
            </a:extLst>
          </xdr:cNvPr>
          <xdr:cNvSpPr/>
        </xdr:nvSpPr>
        <xdr:spPr>
          <a:xfrm>
            <a:off x="3048000" y="2362200"/>
            <a:ext cx="3676650" cy="1190625"/>
          </a:xfrm>
          <a:prstGeom prst="roundRect">
            <a:avLst>
              <a:gd name="adj" fmla="val 8667"/>
            </a:avLst>
          </a:prstGeom>
          <a:solidFill>
            <a:schemeClr val="bg1"/>
          </a:solidFill>
          <a:ln>
            <a:solidFill>
              <a:srgbClr val="22C55E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4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E1D3FA34-E4C3-452D-9F66-710D828D0087}"/>
              </a:ext>
            </a:extLst>
          </xdr:cNvPr>
          <xdr:cNvSpPr/>
        </xdr:nvSpPr>
        <xdr:spPr>
          <a:xfrm>
            <a:off x="4593538" y="2800350"/>
            <a:ext cx="2006317" cy="561975"/>
          </a:xfrm>
          <a:prstGeom prst="roundRect">
            <a:avLst>
              <a:gd name="adj" fmla="val 8667"/>
            </a:avLst>
          </a:prstGeom>
          <a:ln/>
        </xdr:spPr>
        <xdr:style>
          <a:lnRef idx="0">
            <a:schemeClr val="accent3"/>
          </a:lnRef>
          <a:fillRef idx="3">
            <a:schemeClr val="accent3"/>
          </a:fillRef>
          <a:effectRef idx="3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AFC9CE7-59E5-4236-AFCD-5EB29512FBD6}" type="TxLink">
              <a:rPr lang="en-US" sz="1600" b="0" i="0" u="none" strike="noStrike">
                <a:solidFill>
                  <a:srgbClr val="000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R$ 1.800,00 </a:t>
            </a:fld>
            <a:endParaRPr lang="pt-BR" sz="1600" b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F6FC3C0B-AD26-41A2-951B-65AF8FED713C}"/>
              </a:ext>
            </a:extLst>
          </xdr:cNvPr>
          <xdr:cNvSpPr/>
        </xdr:nvSpPr>
        <xdr:spPr>
          <a:xfrm>
            <a:off x="3048002" y="2314575"/>
            <a:ext cx="3676649" cy="352425"/>
          </a:xfrm>
          <a:prstGeom prst="round2SameRect">
            <a:avLst/>
          </a:prstGeom>
          <a:solidFill>
            <a:schemeClr val="accent3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AFA49FD4-0F80-4BDA-8AE5-9E2C1BF6199A}"/>
              </a:ext>
            </a:extLst>
          </xdr:cNvPr>
          <xdr:cNvGrpSpPr>
            <a:grpSpLocks noChangeAspect="1"/>
          </xdr:cNvGrpSpPr>
        </xdr:nvGrpSpPr>
        <xdr:grpSpPr>
          <a:xfrm>
            <a:off x="3162300" y="2809874"/>
            <a:ext cx="1266825" cy="533401"/>
            <a:chOff x="3495675" y="5400674"/>
            <a:chExt cx="1549476" cy="752476"/>
          </a:xfrm>
        </xdr:grpSpPr>
        <xdr:pic>
          <xdr:nvPicPr>
            <xdr:cNvPr id="24" name="Imagem 23">
              <a:extLst>
                <a:ext uri="{FF2B5EF4-FFF2-40B4-BE49-F238E27FC236}">
                  <a16:creationId xmlns:a16="http://schemas.microsoft.com/office/drawing/2014/main" id="{EE0ADF16-92EE-492D-B9B3-8A82A4ED09F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5" name="Gráfico 24">
              <a:extLst>
                <a:ext uri="{FF2B5EF4-FFF2-40B4-BE49-F238E27FC236}">
                  <a16:creationId xmlns:a16="http://schemas.microsoft.com/office/drawing/2014/main" id="{8B8F3F3D-54D2-4C0D-AFAC-E3CFE0EF47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10</xdr:row>
      <xdr:rowOff>76200</xdr:rowOff>
    </xdr:from>
    <xdr:to>
      <xdr:col>7</xdr:col>
      <xdr:colOff>323850</xdr:colOff>
      <xdr:row>24</xdr:row>
      <xdr:rowOff>66675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ED6BA33C-F711-4439-B653-5C95377FFE88}"/>
            </a:ext>
          </a:extLst>
        </xdr:cNvPr>
        <xdr:cNvGrpSpPr/>
      </xdr:nvGrpSpPr>
      <xdr:grpSpPr>
        <a:xfrm>
          <a:off x="2257778" y="2249311"/>
          <a:ext cx="6998405" cy="2657475"/>
          <a:chOff x="2324100" y="2228850"/>
          <a:chExt cx="7439025" cy="2771774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7431AECC-A372-465D-87CB-BEEFB651E3F1}"/>
              </a:ext>
            </a:extLst>
          </xdr:cNvPr>
          <xdr:cNvSpPr/>
        </xdr:nvSpPr>
        <xdr:spPr>
          <a:xfrm>
            <a:off x="2324100" y="2495549"/>
            <a:ext cx="7439025" cy="2505075"/>
          </a:xfrm>
          <a:prstGeom prst="roundRect">
            <a:avLst>
              <a:gd name="adj" fmla="val 4667"/>
            </a:avLst>
          </a:prstGeom>
          <a:solidFill>
            <a:schemeClr val="accent3">
              <a:lumMod val="50000"/>
            </a:schemeClr>
          </a:solidFill>
          <a:ln w="12700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tbl_annual_total">
            <a:extLst>
              <a:ext uri="{FF2B5EF4-FFF2-40B4-BE49-F238E27FC236}">
                <a16:creationId xmlns:a16="http://schemas.microsoft.com/office/drawing/2014/main" id="{5B8FEDE4-9595-48EF-8F04-055CFFD23E71}"/>
              </a:ext>
            </a:extLst>
          </xdr:cNvPr>
          <xdr:cNvGraphicFramePr>
            <a:graphicFrameLocks/>
          </xdr:cNvGraphicFramePr>
        </xdr:nvGraphicFramePr>
        <xdr:xfrm>
          <a:off x="2447925" y="2657475"/>
          <a:ext cx="6981825" cy="1876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E9DA7F3C-62A4-423C-A2A9-775E717B7C79}"/>
              </a:ext>
            </a:extLst>
          </xdr:cNvPr>
          <xdr:cNvSpPr/>
        </xdr:nvSpPr>
        <xdr:spPr>
          <a:xfrm>
            <a:off x="2333625" y="2228850"/>
            <a:ext cx="7419976" cy="352425"/>
          </a:xfrm>
          <a:prstGeom prst="round2SameRect">
            <a:avLst/>
          </a:prstGeom>
          <a:solidFill>
            <a:schemeClr val="accent3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</a:p>
        </xdr:txBody>
      </xdr: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4A89EDD8-B095-4E60-B6A3-AB6370DD36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6577" t="12000" r="7646" b="-2000"/>
          <a:stretch/>
        </xdr:blipFill>
        <xdr:spPr>
          <a:xfrm>
            <a:off x="9039225" y="4589536"/>
            <a:ext cx="619125" cy="27615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3</xdr:row>
      <xdr:rowOff>28575</xdr:rowOff>
    </xdr:from>
    <xdr:to>
      <xdr:col>0</xdr:col>
      <xdr:colOff>1981201</xdr:colOff>
      <xdr:row>6</xdr:row>
      <xdr:rowOff>171450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EBD5FBC7-5E99-4451-ADBF-7A8DA5B6F685}"/>
            </a:ext>
          </a:extLst>
        </xdr:cNvPr>
        <xdr:cNvGrpSpPr/>
      </xdr:nvGrpSpPr>
      <xdr:grpSpPr>
        <a:xfrm>
          <a:off x="0" y="868186"/>
          <a:ext cx="1981201" cy="714375"/>
          <a:chOff x="0" y="971550"/>
          <a:chExt cx="1981201" cy="714375"/>
        </a:xfrm>
      </xdr:grpSpPr>
      <xdr:pic>
        <xdr:nvPicPr>
          <xdr:cNvPr id="36" name="Imagem 35">
            <a:extLst>
              <a:ext uri="{FF2B5EF4-FFF2-40B4-BE49-F238E27FC236}">
                <a16:creationId xmlns:a16="http://schemas.microsoft.com/office/drawing/2014/main" id="{D71EAE09-55A8-44B9-A67E-A0A6551AF74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6981" t="-5333" r="670" b="5333"/>
          <a:stretch/>
        </xdr:blipFill>
        <xdr:spPr>
          <a:xfrm>
            <a:off x="0" y="971550"/>
            <a:ext cx="742948" cy="714375"/>
          </a:xfrm>
          <a:prstGeom prst="rect">
            <a:avLst/>
          </a:prstGeom>
        </xdr:spPr>
      </xdr:pic>
      <xdr:sp macro="" textlink="">
        <xdr:nvSpPr>
          <xdr:cNvPr id="37" name="Retângulo 36">
            <a:extLst>
              <a:ext uri="{FF2B5EF4-FFF2-40B4-BE49-F238E27FC236}">
                <a16:creationId xmlns:a16="http://schemas.microsoft.com/office/drawing/2014/main" id="{AAC8C098-D4CF-4D67-8F99-CFEC9605AE73}"/>
              </a:ext>
            </a:extLst>
          </xdr:cNvPr>
          <xdr:cNvSpPr/>
        </xdr:nvSpPr>
        <xdr:spPr>
          <a:xfrm>
            <a:off x="571501" y="1228725"/>
            <a:ext cx="1409700" cy="2667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>
            <a:scene3d>
              <a:camera prst="orthographicFront"/>
              <a:lightRig rig="harsh" dir="t"/>
            </a:scene3d>
            <a:sp3d extrusionH="57150" prstMaterial="matte">
              <a:bevelT w="63500" h="12700" prst="angle"/>
              <a:contourClr>
                <a:schemeClr val="bg1">
                  <a:lumMod val="65000"/>
                </a:schemeClr>
              </a:contourClr>
            </a:sp3d>
          </a:bodyPr>
          <a:lstStyle/>
          <a:p>
            <a:pPr algn="l"/>
            <a:r>
              <a:rPr lang="pt-BR" sz="900" b="1" u="none" cap="none" spc="0">
                <a:ln/>
                <a:solidFill>
                  <a:schemeClr val="accent3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→ Welcome, Gabriele.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e Oliveira" refreshedDate="46311.668371527776" createdVersion="7" refreshedVersion="7" minRefreshableVersion="3" recordCount="295" xr:uid="{116610ED-79D6-47E3-B2E7-1FE0DA032AB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966963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43C85-09CB-45BF-A87E-29F560E37ECE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4"/>
  </dataFields>
  <formats count="14">
    <format dxfId="69">
      <pivotArea dataOnly="0" outline="0" axis="axisValues" fieldPosition="0"/>
    </format>
    <format dxfId="68">
      <pivotArea outline="0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4" type="button" dataOnly="0" labelOnly="1" outline="0" axis="axisRow" fieldPosition="0"/>
    </format>
    <format dxfId="64">
      <pivotArea dataOnly="0" labelOnly="1" fieldPosition="0">
        <references count="1">
          <reference field="4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4" type="button" dataOnly="0" labelOnly="1" outline="0" axis="axisRow" fieldPosition="0"/>
    </format>
    <format dxfId="58">
      <pivotArea dataOnly="0" labelOnly="1" fieldPosition="0">
        <references count="1">
          <reference field="4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989D5-78D3-4901-9CA6-AE10111EDE96}" name="Tabela dinâmica4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40:C4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/>
  </dataFields>
  <formats count="13">
    <format dxfId="82">
      <pivotArea dataOnly="0" outline="0" axis="axisValues" fieldPosition="0"/>
    </format>
    <format dxfId="81">
      <pivotArea outline="0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4" type="button" dataOnly="0" labelOnly="1" outline="0"/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4" type="button" dataOnly="0" labelOnly="1" outline="0"/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189764-315C-47F9-A4B3-9C26BE389240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formats count="13">
    <format dxfId="95">
      <pivotArea dataOnly="0" outline="0" axis="axisValues" fieldPosition="0"/>
    </format>
    <format dxfId="94">
      <pivotArea outline="0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4" type="button" dataOnly="0" labelOnly="1" outline="0"/>
    </format>
    <format dxfId="90">
      <pivotArea dataOnly="0" labelOnly="1" grandRow="1" outline="0" fieldPosition="0"/>
    </format>
    <format dxfId="89">
      <pivotArea dataOnly="0" labelOnly="1" outline="0" axis="axisValues" fieldPosition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4" type="button" dataOnly="0" labelOnly="1" outline="0"/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3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0BD2A-F8DE-4E8C-AE34-89F155A5C881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">
  <location ref="C14:D17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164"/>
  </dataFields>
  <formats count="56">
    <format dxfId="55">
      <pivotArea dataOnly="0" outline="0" axis="axisValues" fieldPosition="0"/>
    </format>
    <format dxfId="54">
      <pivotArea outline="0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4" type="button" dataOnly="0" labelOnly="1" outline="0" axis="axisRow" fieldPosition="0"/>
    </format>
    <format dxfId="50">
      <pivotArea dataOnly="0" labelOnly="1" fieldPosition="0">
        <references count="1">
          <reference field="4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4" type="button" dataOnly="0" labelOnly="1" outline="0" axis="axisRow" fieldPosition="0"/>
    </format>
    <format dxfId="44">
      <pivotArea dataOnly="0" labelOnly="1" fieldPosition="0">
        <references count="1">
          <reference field="4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4" type="button" dataOnly="0" labelOnly="1" outline="0" axis="axisRow" fieldPosition="0"/>
    </format>
    <format dxfId="26">
      <pivotArea dataOnly="0" labelOnly="1" fieldPosition="0">
        <references count="1">
          <reference field="4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4" type="button" dataOnly="0" labelOnly="1" outline="0" axis="axisRow" fieldPosition="0"/>
    </format>
    <format dxfId="14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AE4915BC-7B40-4830-9BF3-C767C7F45C25}" sourceName="Subscription Type">
  <pivotTables>
    <pivotTable tabId="3" name="tbl_easeasonpass_total"/>
    <pivotTable tabId="3" name="Tabela dinâmica1"/>
    <pivotTable tabId="3" name="Tabela dinâmica4"/>
    <pivotTable tabId="5" name="Tabela dinâmica1"/>
  </pivotTables>
  <data>
    <tabular pivotCacheId="129669635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1506DAF-F961-4728-99E6-B72FC8764AB9}" cache="SegmentaçãodeDados_Subscription_Type1" caption="Subscription Type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D76E763-2E1C-448D-BB5D-29301BF4FBF9}" cache="SegmentaçãodeDados_Subscription_Type1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09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08"/>
    <tableColumn id="2" xr3:uid="{53DD39D0-2220-4121-9E9D-4EAA7E151C0F}" name="Name" dataDxfId="107"/>
    <tableColumn id="3" xr3:uid="{4F5FF271-4C57-4BE0-8F2C-F82C8551625C}" name="Plan" dataDxfId="106"/>
    <tableColumn id="4" xr3:uid="{8C17EB93-79B9-4E55-B8F7-BEB82F8253E9}" name="Start Date" dataDxfId="105"/>
    <tableColumn id="5" xr3:uid="{48CEDF9B-1689-482A-A828-5CCE7713264A}" name="Auto Renewal" dataDxfId="104"/>
    <tableColumn id="6" xr3:uid="{78B82374-9AA7-4E38-AE4F-78CDE6C83720}" name="Subscription Price" dataDxfId="103" dataCellStyle="Moeda"/>
    <tableColumn id="7" xr3:uid="{F2433F68-AF33-49D0-B1FB-19A396074EDE}" name="Subscription Type" dataDxfId="102"/>
    <tableColumn id="8" xr3:uid="{FD4D9C95-F6E5-4933-9068-A71FF7DF9343}" name="EA Play Season Pass" dataDxfId="101"/>
    <tableColumn id="13" xr3:uid="{978DD0D2-834E-4CE4-A39B-30976086932F}" name="EA Play Season Pass_x000a_Price" dataDxfId="100" dataCellStyle="Moeda"/>
    <tableColumn id="9" xr3:uid="{6E29F111-C395-4580-9DAD-3407D9E8B1A4}" name="Minecraft Season Pass" dataDxfId="99"/>
    <tableColumn id="10" xr3:uid="{EF544EAA-7F25-4FD5-A10E-8E62804DB9E3}" name="Minecraft Season Pass Price" dataDxfId="98" dataCellStyle="Moeda"/>
    <tableColumn id="11" xr3:uid="{7F6EB64A-1F07-4E48-9F0F-AC7D9DCD26F8}" name="Coupon Value" dataDxfId="97" dataCellStyle="Moeda"/>
    <tableColumn id="12" xr3:uid="{2B04ABC8-DE6F-426E-ADC0-D8AFC68CA58E}" name="Total Value" dataDxfId="9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D9" zoomScaleNormal="100" workbookViewId="0">
      <selection activeCell="O23" sqref="O23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O23" sqref="O2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2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2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2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2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2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2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2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2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2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2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2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2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2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2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2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2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2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2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2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2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2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2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2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2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2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2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2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2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2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2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2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2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2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2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2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2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2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2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2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2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2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2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2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2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2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2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2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2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2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2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2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2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2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2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2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2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2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2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2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2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2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2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2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2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2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2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2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2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2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2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2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2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2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2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2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2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2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2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2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2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2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2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2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2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2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2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2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2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2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2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2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2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2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2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2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2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2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2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2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2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2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2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2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2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2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2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2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2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2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2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2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2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2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2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2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2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2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2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2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2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2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2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2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2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2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2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2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2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2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2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2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2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2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2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2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2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2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2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2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2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2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2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2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2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2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2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2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2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2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2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2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2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2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2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2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2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2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2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2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2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2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2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2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2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2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2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2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2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2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2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2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2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2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2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2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2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2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2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2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2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2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2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2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2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2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2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2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2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2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2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2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2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2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2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2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2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2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2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2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2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2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2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2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2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2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2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2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2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2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2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2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2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2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2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2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2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2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2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2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2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2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2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2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2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2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2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2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2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2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2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2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2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2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2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2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2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2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2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2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2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2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2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2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2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2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2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2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2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2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2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2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2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2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2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2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2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2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2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2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2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2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2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2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2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2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2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2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2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2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2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2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2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2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2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2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2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2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2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2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2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2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2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2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2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2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2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2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2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2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2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2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2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2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2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2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H44"/>
  <sheetViews>
    <sheetView showGridLines="0" topLeftCell="A24" workbookViewId="0">
      <selection activeCell="O23" sqref="O23"/>
    </sheetView>
  </sheetViews>
  <sheetFormatPr defaultRowHeight="15"/>
  <cols>
    <col min="1" max="1" width="9" style="13"/>
    <col min="2" max="2" width="19.625" style="13" bestFit="1" customWidth="1"/>
    <col min="3" max="3" width="38" style="13" bestFit="1" customWidth="1"/>
    <col min="4" max="4" width="42.125" style="13" bestFit="1" customWidth="1"/>
    <col min="5" max="5" width="13.25" style="13" bestFit="1" customWidth="1"/>
    <col min="6" max="6" width="19.125" style="13" bestFit="1" customWidth="1"/>
    <col min="7" max="7" width="27.75" style="13" bestFit="1" customWidth="1"/>
    <col min="8" max="8" width="5.375" style="13" customWidth="1"/>
    <col min="9" max="9" width="21.125" style="13" bestFit="1" customWidth="1"/>
    <col min="10" max="11" width="35.125" style="13" bestFit="1" customWidth="1"/>
    <col min="12" max="15" width="9.75" style="13" bestFit="1" customWidth="1"/>
    <col min="16" max="16" width="15.625" style="13" bestFit="1" customWidth="1"/>
    <col min="17" max="17" width="12.125" style="13" bestFit="1" customWidth="1"/>
    <col min="18" max="16384" width="9" style="13"/>
  </cols>
  <sheetData>
    <row r="2" spans="2:8">
      <c r="B2" s="32" t="s">
        <v>313</v>
      </c>
      <c r="C2" s="32"/>
      <c r="D2" s="32"/>
      <c r="E2" s="32"/>
    </row>
    <row r="4" spans="2:8" ht="15.75">
      <c r="B4" s="33" t="s">
        <v>317</v>
      </c>
      <c r="C4" s="33"/>
      <c r="D4" s="33"/>
      <c r="E4" s="33"/>
      <c r="F4" s="33"/>
      <c r="G4" s="33"/>
      <c r="H4" s="33"/>
    </row>
    <row r="5" spans="2:8" ht="15.75">
      <c r="B5" s="33" t="s">
        <v>318</v>
      </c>
      <c r="C5" s="33"/>
      <c r="D5" s="33"/>
      <c r="E5" s="33"/>
      <c r="F5" s="33"/>
      <c r="G5" s="33"/>
      <c r="H5" s="33"/>
    </row>
    <row r="8" spans="2:8">
      <c r="B8" s="14" t="s">
        <v>16</v>
      </c>
      <c r="C8" s="13" t="s">
        <v>20</v>
      </c>
    </row>
    <row r="10" spans="2:8">
      <c r="B10" s="14" t="s">
        <v>314</v>
      </c>
      <c r="C10" s="15" t="s">
        <v>316</v>
      </c>
    </row>
    <row r="11" spans="2:8">
      <c r="B11" s="16" t="s">
        <v>23</v>
      </c>
      <c r="C11" s="15">
        <v>2824</v>
      </c>
    </row>
    <row r="12" spans="2:8">
      <c r="B12" s="16" t="s">
        <v>19</v>
      </c>
      <c r="C12" s="15">
        <v>747</v>
      </c>
    </row>
    <row r="13" spans="2:8">
      <c r="B13" s="16" t="s">
        <v>315</v>
      </c>
      <c r="C13" s="15">
        <v>3571</v>
      </c>
    </row>
    <row r="25" spans="2:8" ht="15.75">
      <c r="B25" s="33" t="s">
        <v>320</v>
      </c>
      <c r="C25" s="33"/>
      <c r="D25" s="33"/>
      <c r="E25" s="33"/>
      <c r="F25" s="33"/>
      <c r="G25" s="33"/>
      <c r="H25" s="33"/>
    </row>
    <row r="27" spans="2:8">
      <c r="B27" s="14" t="s">
        <v>16</v>
      </c>
      <c r="C27" s="13" t="s">
        <v>20</v>
      </c>
    </row>
    <row r="29" spans="2:8">
      <c r="B29" s="14" t="s">
        <v>314</v>
      </c>
      <c r="C29" s="15" t="s">
        <v>321</v>
      </c>
      <c r="D29"/>
    </row>
    <row r="30" spans="2:8">
      <c r="B30" s="16" t="s">
        <v>22</v>
      </c>
      <c r="C30" s="19">
        <v>0</v>
      </c>
      <c r="D30"/>
    </row>
    <row r="31" spans="2:8">
      <c r="B31" s="16" t="s">
        <v>26</v>
      </c>
      <c r="C31" s="19">
        <v>0</v>
      </c>
      <c r="D31"/>
    </row>
    <row r="32" spans="2:8">
      <c r="B32" s="16" t="s">
        <v>18</v>
      </c>
      <c r="C32" s="19">
        <v>1350</v>
      </c>
      <c r="D32"/>
    </row>
    <row r="33" spans="2:8">
      <c r="B33" s="16" t="s">
        <v>315</v>
      </c>
      <c r="C33" s="19">
        <v>1350</v>
      </c>
      <c r="D33"/>
      <c r="E33" s="20">
        <f>GETPIVOTDATA("EA Play Season Pass
Price",$B$29)</f>
        <v>1350</v>
      </c>
    </row>
    <row r="34" spans="2:8">
      <c r="B34"/>
      <c r="C34"/>
    </row>
    <row r="35" spans="2:8">
      <c r="B35"/>
      <c r="C35"/>
    </row>
    <row r="36" spans="2:8" ht="15.75">
      <c r="B36" s="33" t="s">
        <v>322</v>
      </c>
      <c r="C36" s="33"/>
      <c r="D36" s="33"/>
      <c r="E36" s="33"/>
      <c r="F36" s="33"/>
      <c r="G36" s="33"/>
      <c r="H36" s="33"/>
    </row>
    <row r="38" spans="2:8">
      <c r="B38" s="14" t="s">
        <v>16</v>
      </c>
      <c r="C38" s="13" t="s">
        <v>20</v>
      </c>
    </row>
    <row r="40" spans="2:8">
      <c r="B40" s="14" t="s">
        <v>314</v>
      </c>
      <c r="C40" s="15" t="s">
        <v>323</v>
      </c>
      <c r="D40"/>
    </row>
    <row r="41" spans="2:8">
      <c r="B41" s="16" t="s">
        <v>22</v>
      </c>
      <c r="C41" s="19">
        <v>0</v>
      </c>
      <c r="D41"/>
    </row>
    <row r="42" spans="2:8">
      <c r="B42" s="16" t="s">
        <v>26</v>
      </c>
      <c r="C42" s="19">
        <v>900</v>
      </c>
      <c r="D42"/>
    </row>
    <row r="43" spans="2:8">
      <c r="B43" s="16" t="s">
        <v>18</v>
      </c>
      <c r="C43" s="19">
        <v>900</v>
      </c>
      <c r="D43"/>
    </row>
    <row r="44" spans="2:8">
      <c r="B44" s="16" t="s">
        <v>315</v>
      </c>
      <c r="C44" s="19">
        <v>1800</v>
      </c>
      <c r="D44"/>
      <c r="E44" s="20">
        <f>GETPIVOTDATA("Minecraft Season Pass Price",$B$40)</f>
        <v>1800</v>
      </c>
    </row>
  </sheetData>
  <mergeCells count="5">
    <mergeCell ref="B2:E2"/>
    <mergeCell ref="B4:H4"/>
    <mergeCell ref="B5:H5"/>
    <mergeCell ref="B25:H25"/>
    <mergeCell ref="B36:H36"/>
  </mergeCells>
  <pageMargins left="0.511811024" right="0.511811024" top="0.78740157499999996" bottom="0.78740157499999996" header="0.31496062000000002" footer="0.31496062000000002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80A9-5C8E-411F-B537-D38AE2D1FC74}">
  <sheetPr>
    <tabColor theme="6"/>
  </sheetPr>
  <dimension ref="A1:R111"/>
  <sheetViews>
    <sheetView showGridLines="0" showRowColHeaders="0" tabSelected="1" zoomScale="135" workbookViewId="0">
      <selection activeCell="A27" sqref="A27:XFD1048576"/>
    </sheetView>
  </sheetViews>
  <sheetFormatPr defaultColWidth="0" defaultRowHeight="15" zeroHeight="1"/>
  <cols>
    <col min="1" max="1" width="27.125" style="18" customWidth="1"/>
    <col min="2" max="2" width="2.5" style="13" customWidth="1"/>
    <col min="3" max="3" width="17.75" style="13" bestFit="1" customWidth="1"/>
    <col min="4" max="4" width="19.625" style="13" bestFit="1" customWidth="1"/>
    <col min="5" max="5" width="34" style="13" customWidth="1"/>
    <col min="6" max="6" width="6.25" style="13" customWidth="1"/>
    <col min="7" max="7" width="9.875" style="13" customWidth="1"/>
    <col min="8" max="8" width="5.25" style="13" customWidth="1"/>
    <col min="9" max="9" width="5.375" style="13" customWidth="1"/>
    <col min="10" max="10" width="4.375" style="13" customWidth="1"/>
    <col min="11" max="12" width="35.125" style="13" hidden="1" customWidth="1"/>
    <col min="13" max="16" width="9.75" style="13" hidden="1" customWidth="1"/>
    <col min="17" max="17" width="15.625" style="13" hidden="1" customWidth="1"/>
    <col min="18" max="18" width="12.125" style="13" hidden="1" customWidth="1"/>
    <col min="19" max="16384" width="9" style="13" hidden="1"/>
  </cols>
  <sheetData>
    <row r="1" spans="2:16"/>
    <row r="2" spans="2:16" ht="26.25" customHeight="1" thickBot="1">
      <c r="C2" s="34" t="s">
        <v>319</v>
      </c>
      <c r="D2" s="34"/>
      <c r="E2" s="34"/>
      <c r="F2" s="34"/>
      <c r="G2" s="34"/>
      <c r="H2" s="34"/>
    </row>
    <row r="3" spans="2:16" ht="24.75" thickTop="1">
      <c r="C3" s="29" t="s">
        <v>324</v>
      </c>
      <c r="D3" s="30" t="str">
        <f>TEXT(MIN(Tabela1[Start Date]),"dd/mm/aaaa")&amp;" a "&amp;TEXT(MAX(Tabela1[Start Date]),"dd/mm/aaaa")</f>
        <v>01/01/2024 a 16/12/2024</v>
      </c>
      <c r="E3" s="28"/>
      <c r="F3" s="29" t="s">
        <v>325</v>
      </c>
      <c r="G3" s="31">
        <f ca="1">TODAY()</f>
        <v>46311</v>
      </c>
      <c r="H3" s="27"/>
    </row>
    <row r="4" spans="2:16">
      <c r="B4" s="21"/>
      <c r="C4" s="21"/>
      <c r="D4" s="21"/>
      <c r="E4" s="21"/>
      <c r="F4" s="21"/>
      <c r="G4" s="21"/>
      <c r="H4" s="21"/>
      <c r="I4" s="21"/>
      <c r="J4" s="21"/>
      <c r="K4" s="21"/>
      <c r="L4" s="17"/>
      <c r="M4" s="17"/>
      <c r="N4" s="17"/>
      <c r="O4" s="17"/>
      <c r="P4" s="17"/>
    </row>
    <row r="5" spans="2:16">
      <c r="B5" s="21"/>
      <c r="C5" s="22"/>
      <c r="D5" s="22"/>
      <c r="E5" s="22"/>
      <c r="F5" s="21"/>
      <c r="G5" s="21"/>
      <c r="H5" s="21"/>
      <c r="I5" s="21"/>
      <c r="J5" s="21"/>
      <c r="K5" s="21"/>
      <c r="L5" s="17"/>
      <c r="M5" s="17"/>
      <c r="N5" s="17"/>
      <c r="O5" s="17"/>
      <c r="P5" s="17"/>
    </row>
    <row r="6" spans="2:16">
      <c r="B6" s="21"/>
      <c r="C6" s="22"/>
      <c r="D6" s="22"/>
      <c r="E6" s="22"/>
      <c r="F6" s="21"/>
      <c r="G6" s="21"/>
      <c r="H6" s="21"/>
      <c r="I6" s="21"/>
      <c r="J6" s="21"/>
      <c r="K6" s="21"/>
      <c r="L6" s="17"/>
      <c r="M6" s="17"/>
      <c r="N6" s="17"/>
      <c r="O6" s="17"/>
      <c r="P6" s="17"/>
    </row>
    <row r="7" spans="2:16">
      <c r="B7" s="21"/>
      <c r="C7" s="22"/>
      <c r="D7" s="22"/>
      <c r="E7" s="22"/>
      <c r="F7" s="21"/>
      <c r="G7" s="21"/>
      <c r="H7" s="21"/>
      <c r="I7" s="21"/>
      <c r="J7" s="21"/>
      <c r="K7" s="21"/>
      <c r="L7" s="17"/>
      <c r="M7" s="17"/>
      <c r="N7" s="17"/>
      <c r="O7" s="17"/>
      <c r="P7" s="17"/>
    </row>
    <row r="8" spans="2:16">
      <c r="B8" s="21"/>
      <c r="C8" s="22"/>
      <c r="D8" s="22"/>
      <c r="E8" s="22"/>
      <c r="F8" s="21"/>
      <c r="G8" s="21"/>
      <c r="H8" s="21"/>
      <c r="I8" s="21"/>
      <c r="J8" s="21"/>
      <c r="K8" s="21"/>
      <c r="L8" s="17"/>
      <c r="M8" s="17"/>
      <c r="N8" s="17"/>
      <c r="O8" s="17"/>
      <c r="P8" s="17"/>
    </row>
    <row r="9" spans="2:16">
      <c r="B9" s="21"/>
      <c r="C9" s="22"/>
      <c r="D9" s="22"/>
      <c r="E9" s="22"/>
      <c r="F9" s="21"/>
      <c r="G9" s="21"/>
      <c r="H9" s="21"/>
      <c r="I9" s="21"/>
      <c r="J9" s="21"/>
      <c r="K9" s="21"/>
      <c r="L9" s="17"/>
      <c r="M9" s="17"/>
      <c r="N9" s="17"/>
      <c r="O9" s="17"/>
      <c r="P9" s="17"/>
    </row>
    <row r="10" spans="2:16">
      <c r="B10" s="21"/>
      <c r="C10" s="22"/>
      <c r="D10" s="22"/>
      <c r="E10" s="22"/>
      <c r="F10" s="21"/>
      <c r="G10" s="21"/>
      <c r="H10" s="21"/>
      <c r="I10" s="21"/>
      <c r="J10" s="21"/>
      <c r="K10" s="21"/>
      <c r="L10" s="17"/>
      <c r="M10" s="17"/>
      <c r="N10" s="17"/>
      <c r="O10" s="17"/>
      <c r="P10" s="17"/>
    </row>
    <row r="11" spans="2:16">
      <c r="B11" s="21"/>
      <c r="C11" s="22"/>
      <c r="D11" s="22"/>
      <c r="E11" s="22"/>
      <c r="F11" s="21"/>
      <c r="G11" s="21"/>
      <c r="H11" s="21"/>
      <c r="I11" s="21"/>
      <c r="J11" s="21"/>
      <c r="K11" s="21"/>
      <c r="L11" s="17"/>
      <c r="M11" s="17"/>
      <c r="N11" s="17"/>
      <c r="O11" s="17"/>
      <c r="P11" s="17"/>
    </row>
    <row r="12" spans="2:16">
      <c r="B12" s="21"/>
      <c r="C12" s="24" t="s">
        <v>16</v>
      </c>
      <c r="D12" s="24" t="s">
        <v>20</v>
      </c>
      <c r="E12" s="22"/>
      <c r="F12" s="21"/>
      <c r="G12" s="21"/>
      <c r="H12" s="21"/>
      <c r="I12" s="21"/>
      <c r="J12" s="21"/>
      <c r="K12" s="21"/>
      <c r="L12" s="17"/>
      <c r="M12" s="17"/>
      <c r="N12" s="17"/>
      <c r="O12" s="17"/>
      <c r="P12" s="17"/>
    </row>
    <row r="13" spans="2:16">
      <c r="B13" s="21"/>
      <c r="C13" s="24"/>
      <c r="D13" s="24"/>
      <c r="E13" s="22"/>
      <c r="F13" s="21"/>
      <c r="G13" s="21"/>
      <c r="H13" s="21"/>
      <c r="I13" s="21"/>
      <c r="J13" s="21"/>
      <c r="K13" s="21"/>
      <c r="L13" s="17"/>
      <c r="M13" s="17"/>
      <c r="N13" s="17"/>
      <c r="O13" s="17"/>
      <c r="P13" s="17"/>
    </row>
    <row r="14" spans="2:16">
      <c r="B14" s="21"/>
      <c r="C14" s="24" t="s">
        <v>314</v>
      </c>
      <c r="D14" s="25" t="s">
        <v>316</v>
      </c>
      <c r="E14" s="22"/>
      <c r="F14" s="21"/>
      <c r="G14" s="21"/>
      <c r="H14" s="21"/>
      <c r="I14" s="21"/>
      <c r="J14" s="21"/>
      <c r="K14" s="21"/>
      <c r="L14" s="17"/>
      <c r="M14" s="17"/>
      <c r="N14" s="17"/>
      <c r="O14" s="17"/>
      <c r="P14" s="17"/>
    </row>
    <row r="15" spans="2:16">
      <c r="B15" s="21"/>
      <c r="C15" s="26" t="s">
        <v>23</v>
      </c>
      <c r="D15" s="25">
        <v>2824</v>
      </c>
      <c r="E15" s="22"/>
      <c r="F15" s="21"/>
      <c r="G15" s="21"/>
      <c r="H15" s="21"/>
      <c r="I15" s="21"/>
      <c r="J15" s="21"/>
      <c r="K15" s="21"/>
      <c r="L15" s="17"/>
      <c r="M15" s="17"/>
      <c r="N15" s="17"/>
      <c r="O15" s="17"/>
      <c r="P15" s="17"/>
    </row>
    <row r="16" spans="2:16">
      <c r="B16" s="21"/>
      <c r="C16" s="26" t="s">
        <v>19</v>
      </c>
      <c r="D16" s="25">
        <v>747</v>
      </c>
      <c r="E16" s="22"/>
      <c r="F16" s="21"/>
      <c r="G16" s="21"/>
      <c r="H16" s="21"/>
      <c r="I16" s="21"/>
      <c r="J16" s="21"/>
      <c r="K16" s="21"/>
      <c r="L16" s="17"/>
      <c r="M16" s="17"/>
      <c r="N16" s="17"/>
      <c r="O16" s="17"/>
      <c r="P16" s="17"/>
    </row>
    <row r="17" spans="2:16">
      <c r="B17" s="21"/>
      <c r="C17" s="26" t="s">
        <v>315</v>
      </c>
      <c r="D17" s="25">
        <v>3571</v>
      </c>
      <c r="E17" s="22"/>
      <c r="F17" s="21"/>
      <c r="G17" s="21"/>
      <c r="H17" s="21"/>
      <c r="I17" s="21"/>
      <c r="J17" s="21"/>
      <c r="K17" s="21"/>
      <c r="L17" s="17"/>
      <c r="M17" s="17"/>
      <c r="N17" s="17"/>
      <c r="O17" s="17"/>
      <c r="P17" s="17"/>
    </row>
    <row r="18" spans="2:16">
      <c r="B18" s="21"/>
      <c r="C18" s="23"/>
      <c r="D18" s="23"/>
      <c r="E18" s="23"/>
      <c r="F18" s="21"/>
      <c r="G18" s="21"/>
      <c r="H18" s="21"/>
      <c r="I18" s="21"/>
      <c r="J18" s="21"/>
      <c r="K18" s="21"/>
      <c r="L18" s="17"/>
      <c r="M18" s="17"/>
      <c r="N18" s="17"/>
      <c r="O18" s="17"/>
      <c r="P18" s="17"/>
    </row>
    <row r="19" spans="2:16">
      <c r="B19" s="21"/>
      <c r="C19" s="23"/>
      <c r="D19" s="23"/>
      <c r="E19" s="23"/>
      <c r="F19" s="21"/>
      <c r="G19" s="21"/>
      <c r="H19" s="21"/>
      <c r="I19" s="21"/>
      <c r="J19" s="21"/>
      <c r="K19" s="21"/>
      <c r="L19" s="17"/>
      <c r="M19" s="17"/>
      <c r="N19" s="17"/>
      <c r="O19" s="17"/>
      <c r="P19" s="17"/>
    </row>
    <row r="20" spans="2:16">
      <c r="B20" s="21"/>
      <c r="C20" s="23"/>
      <c r="D20" s="23"/>
      <c r="E20" s="23"/>
      <c r="F20" s="21"/>
      <c r="G20" s="21"/>
      <c r="H20" s="21"/>
      <c r="I20" s="21"/>
      <c r="J20" s="21"/>
      <c r="K20" s="21"/>
      <c r="L20" s="17"/>
      <c r="M20" s="17"/>
      <c r="N20" s="17"/>
      <c r="O20" s="17"/>
      <c r="P20" s="17"/>
    </row>
    <row r="21" spans="2:16">
      <c r="B21" s="21"/>
      <c r="C21" s="23"/>
      <c r="D21" s="23"/>
      <c r="E21" s="23"/>
      <c r="F21" s="21"/>
      <c r="G21" s="21"/>
      <c r="H21" s="21"/>
      <c r="I21" s="21"/>
      <c r="J21" s="21"/>
      <c r="K21" s="21"/>
      <c r="L21" s="17"/>
      <c r="M21" s="17"/>
      <c r="N21" s="17"/>
      <c r="O21" s="17"/>
      <c r="P21" s="17"/>
    </row>
    <row r="22" spans="2:16">
      <c r="B22" s="21"/>
      <c r="C22" s="23"/>
      <c r="D22" s="23"/>
      <c r="E22" s="23"/>
      <c r="F22" s="21"/>
      <c r="G22" s="21"/>
      <c r="H22" s="21"/>
      <c r="I22" s="21"/>
      <c r="J22" s="21"/>
      <c r="K22" s="21"/>
      <c r="L22" s="17"/>
      <c r="M22" s="17"/>
      <c r="N22" s="17"/>
      <c r="O22" s="17"/>
      <c r="P22" s="17"/>
    </row>
    <row r="23" spans="2:16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7"/>
      <c r="M23" s="17"/>
      <c r="N23" s="17"/>
      <c r="O23" s="17"/>
      <c r="P23" s="17"/>
    </row>
    <row r="24" spans="2:16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7"/>
      <c r="M24" s="17"/>
      <c r="N24" s="17"/>
      <c r="O24" s="17"/>
      <c r="P24" s="17"/>
    </row>
    <row r="25" spans="2:16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17"/>
      <c r="M25" s="17"/>
      <c r="N25" s="17"/>
      <c r="O25" s="17"/>
      <c r="P25" s="17"/>
    </row>
    <row r="26" spans="2:16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7"/>
      <c r="M26" s="17"/>
      <c r="N26" s="17"/>
      <c r="O26" s="17"/>
      <c r="P26" s="17"/>
    </row>
    <row r="27" spans="2:16" hidden="1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17"/>
      <c r="M27" s="17"/>
      <c r="N27" s="17"/>
      <c r="O27" s="17"/>
      <c r="P27" s="17"/>
    </row>
    <row r="28" spans="2:16" hidden="1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17"/>
      <c r="M28" s="17"/>
      <c r="N28" s="17"/>
      <c r="O28" s="17"/>
      <c r="P28" s="17"/>
    </row>
    <row r="29" spans="2:16" hidden="1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17"/>
      <c r="M29" s="17"/>
      <c r="N29" s="17"/>
      <c r="O29" s="17"/>
      <c r="P29" s="17"/>
    </row>
    <row r="30" spans="2:16" hidden="1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17"/>
      <c r="M30" s="17"/>
      <c r="N30" s="17"/>
      <c r="O30" s="17"/>
      <c r="P30" s="17"/>
    </row>
    <row r="31" spans="2:16" hidden="1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17"/>
      <c r="M31" s="17"/>
      <c r="N31" s="17"/>
      <c r="O31" s="17"/>
      <c r="P31" s="17"/>
    </row>
    <row r="32" spans="2:16" hidden="1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17"/>
      <c r="M32" s="17"/>
      <c r="N32" s="17"/>
      <c r="O32" s="17"/>
      <c r="P32" s="17"/>
    </row>
    <row r="33" spans="2:16" hidden="1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7"/>
      <c r="M33" s="17"/>
      <c r="N33" s="17"/>
      <c r="O33" s="17"/>
      <c r="P33" s="17"/>
    </row>
    <row r="34" spans="2:16" hidden="1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7"/>
      <c r="M34" s="17"/>
      <c r="N34" s="17"/>
      <c r="O34" s="17"/>
      <c r="P34" s="17"/>
    </row>
    <row r="35" spans="2:16" hidden="1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17"/>
      <c r="M35" s="17"/>
      <c r="N35" s="17"/>
      <c r="O35" s="17"/>
      <c r="P35" s="17"/>
    </row>
    <row r="36" spans="2:16" hidden="1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7"/>
      <c r="M36" s="17"/>
      <c r="N36" s="17"/>
      <c r="O36" s="17"/>
      <c r="P36" s="17"/>
    </row>
    <row r="37" spans="2:16" hidden="1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17"/>
      <c r="M37" s="17"/>
      <c r="N37" s="17"/>
      <c r="O37" s="17"/>
      <c r="P37" s="17"/>
    </row>
    <row r="38" spans="2:16" hidden="1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17"/>
      <c r="M38" s="17"/>
      <c r="N38" s="17"/>
      <c r="O38" s="17"/>
      <c r="P38" s="17"/>
    </row>
    <row r="39" spans="2:16" hidden="1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17"/>
      <c r="M39" s="17"/>
      <c r="N39" s="17"/>
      <c r="O39" s="17"/>
      <c r="P39" s="17"/>
    </row>
    <row r="40" spans="2:16" hidden="1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17"/>
      <c r="M40" s="17"/>
      <c r="N40" s="17"/>
      <c r="O40" s="17"/>
      <c r="P40" s="17"/>
    </row>
    <row r="41" spans="2:16" hidden="1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7"/>
      <c r="M41" s="17"/>
      <c r="N41" s="17"/>
      <c r="O41" s="17"/>
      <c r="P41" s="17"/>
    </row>
    <row r="42" spans="2:16" hidden="1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17"/>
      <c r="M42" s="17"/>
      <c r="N42" s="17"/>
      <c r="O42" s="17"/>
      <c r="P42" s="17"/>
    </row>
    <row r="43" spans="2:16" hidden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7"/>
      <c r="M43" s="17"/>
      <c r="N43" s="17"/>
      <c r="O43" s="17"/>
      <c r="P43" s="17"/>
    </row>
    <row r="44" spans="2:16" hidden="1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7"/>
      <c r="M44" s="17"/>
      <c r="N44" s="17"/>
      <c r="O44" s="17"/>
      <c r="P44" s="17"/>
    </row>
    <row r="45" spans="2:16" hidden="1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17"/>
      <c r="M45" s="17"/>
      <c r="N45" s="17"/>
      <c r="O45" s="17"/>
      <c r="P45" s="17"/>
    </row>
    <row r="46" spans="2:16" hidden="1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17"/>
      <c r="M46" s="17"/>
      <c r="N46" s="17"/>
      <c r="O46" s="17"/>
      <c r="P46" s="17"/>
    </row>
    <row r="47" spans="2:16" hidden="1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17"/>
      <c r="M47" s="17"/>
      <c r="N47" s="17"/>
      <c r="O47" s="17"/>
      <c r="P47" s="17"/>
    </row>
    <row r="48" spans="2:16" hidden="1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17"/>
      <c r="M48" s="17"/>
      <c r="N48" s="17"/>
      <c r="O48" s="17"/>
      <c r="P48" s="17"/>
    </row>
    <row r="49" spans="2:16" hidden="1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17"/>
      <c r="M49" s="17"/>
      <c r="N49" s="17"/>
      <c r="O49" s="17"/>
      <c r="P49" s="17"/>
    </row>
    <row r="50" spans="2:16" hidden="1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17"/>
      <c r="M50" s="17"/>
      <c r="N50" s="17"/>
      <c r="O50" s="17"/>
      <c r="P50" s="17"/>
    </row>
    <row r="51" spans="2:16" hidden="1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17"/>
      <c r="M51" s="17"/>
      <c r="N51" s="17"/>
      <c r="O51" s="17"/>
      <c r="P51" s="17"/>
    </row>
    <row r="52" spans="2:16" hidden="1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17"/>
      <c r="M52" s="17"/>
      <c r="N52" s="17"/>
      <c r="O52" s="17"/>
      <c r="P52" s="17"/>
    </row>
    <row r="53" spans="2:16" hidden="1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17"/>
      <c r="M53" s="17"/>
      <c r="N53" s="17"/>
      <c r="O53" s="17"/>
      <c r="P53" s="17"/>
    </row>
    <row r="54" spans="2:16" hidden="1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17"/>
      <c r="M54" s="17"/>
      <c r="N54" s="17"/>
      <c r="O54" s="17"/>
      <c r="P54" s="17"/>
    </row>
    <row r="55" spans="2:16" hidden="1"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17"/>
      <c r="M55" s="17"/>
      <c r="N55" s="17"/>
      <c r="O55" s="17"/>
      <c r="P55" s="17"/>
    </row>
    <row r="56" spans="2:16" hidden="1"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17"/>
      <c r="M56" s="17"/>
      <c r="N56" s="17"/>
      <c r="O56" s="17"/>
      <c r="P56" s="17"/>
    </row>
    <row r="57" spans="2:16" hidden="1"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17"/>
      <c r="M57" s="17"/>
      <c r="N57" s="17"/>
      <c r="O57" s="17"/>
      <c r="P57" s="17"/>
    </row>
    <row r="58" spans="2:16" hidden="1"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17"/>
      <c r="M58" s="17"/>
      <c r="N58" s="17"/>
      <c r="O58" s="17"/>
      <c r="P58" s="17"/>
    </row>
    <row r="59" spans="2:16" hidden="1"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17"/>
      <c r="M59" s="17"/>
      <c r="N59" s="17"/>
      <c r="O59" s="17"/>
      <c r="P59" s="17"/>
    </row>
    <row r="60" spans="2:16" hidden="1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17"/>
      <c r="M60" s="17"/>
      <c r="N60" s="17"/>
      <c r="O60" s="17"/>
      <c r="P60" s="17"/>
    </row>
    <row r="61" spans="2:16" hidden="1"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17"/>
      <c r="M61" s="17"/>
      <c r="N61" s="17"/>
      <c r="O61" s="17"/>
      <c r="P61" s="17"/>
    </row>
    <row r="62" spans="2:16" hidden="1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17"/>
      <c r="M62" s="17"/>
      <c r="N62" s="17"/>
      <c r="O62" s="17"/>
      <c r="P62" s="17"/>
    </row>
    <row r="63" spans="2:16" hidden="1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17"/>
      <c r="M63" s="17"/>
      <c r="N63" s="17"/>
      <c r="O63" s="17"/>
      <c r="P63" s="17"/>
    </row>
    <row r="64" spans="2:16" hidden="1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17"/>
      <c r="M64" s="17"/>
      <c r="N64" s="17"/>
      <c r="O64" s="17"/>
      <c r="P64" s="17"/>
    </row>
    <row r="65" spans="2:16" hidden="1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17"/>
      <c r="M65" s="17"/>
      <c r="N65" s="17"/>
      <c r="O65" s="17"/>
      <c r="P65" s="17"/>
    </row>
    <row r="66" spans="2:16" hidden="1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17"/>
      <c r="M66" s="17"/>
      <c r="N66" s="17"/>
      <c r="O66" s="17"/>
      <c r="P66" s="17"/>
    </row>
    <row r="67" spans="2:16" hidden="1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17"/>
      <c r="M67" s="17"/>
      <c r="N67" s="17"/>
      <c r="O67" s="17"/>
      <c r="P67" s="17"/>
    </row>
    <row r="68" spans="2:16" hidden="1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17"/>
      <c r="M68" s="17"/>
      <c r="N68" s="17"/>
      <c r="O68" s="17"/>
      <c r="P68" s="17"/>
    </row>
    <row r="69" spans="2:16" hidden="1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17"/>
      <c r="M69" s="17"/>
      <c r="N69" s="17"/>
      <c r="O69" s="17"/>
      <c r="P69" s="17"/>
    </row>
    <row r="70" spans="2:16" hidden="1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17"/>
      <c r="M70" s="17"/>
      <c r="N70" s="17"/>
      <c r="O70" s="17"/>
      <c r="P70" s="17"/>
    </row>
    <row r="71" spans="2:16" hidden="1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17"/>
      <c r="M71" s="17"/>
      <c r="N71" s="17"/>
      <c r="O71" s="17"/>
      <c r="P71" s="17"/>
    </row>
    <row r="72" spans="2:16" hidden="1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17"/>
      <c r="M72" s="17"/>
      <c r="N72" s="17"/>
      <c r="O72" s="17"/>
      <c r="P72" s="17"/>
    </row>
    <row r="73" spans="2:16" hidden="1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17"/>
      <c r="M73" s="17"/>
      <c r="N73" s="17"/>
      <c r="O73" s="17"/>
      <c r="P73" s="17"/>
    </row>
    <row r="74" spans="2:16" hidden="1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17"/>
      <c r="M74" s="17"/>
      <c r="N74" s="17"/>
      <c r="O74" s="17"/>
      <c r="P74" s="17"/>
    </row>
    <row r="75" spans="2:16" hidden="1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17"/>
      <c r="M75" s="17"/>
      <c r="N75" s="17"/>
      <c r="O75" s="17"/>
      <c r="P75" s="17"/>
    </row>
    <row r="76" spans="2:16" hidden="1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17"/>
      <c r="M76" s="17"/>
      <c r="N76" s="17"/>
      <c r="O76" s="17"/>
      <c r="P76" s="17"/>
    </row>
    <row r="77" spans="2:16" hidden="1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17"/>
      <c r="M77" s="17"/>
      <c r="N77" s="17"/>
      <c r="O77" s="17"/>
      <c r="P77" s="17"/>
    </row>
    <row r="78" spans="2:16" hidden="1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17"/>
      <c r="M78" s="17"/>
      <c r="N78" s="17"/>
      <c r="O78" s="17"/>
      <c r="P78" s="17"/>
    </row>
    <row r="79" spans="2:16" hidden="1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17"/>
      <c r="M79" s="17"/>
      <c r="N79" s="17"/>
      <c r="O79" s="17"/>
      <c r="P79" s="17"/>
    </row>
    <row r="80" spans="2:16" hidden="1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17"/>
      <c r="M80" s="17"/>
      <c r="N80" s="17"/>
      <c r="O80" s="17"/>
      <c r="P80" s="17"/>
    </row>
    <row r="81" spans="2:16" hidden="1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17"/>
      <c r="M81" s="17"/>
      <c r="N81" s="17"/>
      <c r="O81" s="17"/>
      <c r="P81" s="17"/>
    </row>
    <row r="82" spans="2:16" hidden="1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17"/>
      <c r="M82" s="17"/>
      <c r="N82" s="17"/>
      <c r="O82" s="17"/>
      <c r="P82" s="17"/>
    </row>
    <row r="83" spans="2:16" hidden="1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17"/>
      <c r="M83" s="17"/>
      <c r="N83" s="17"/>
      <c r="O83" s="17"/>
      <c r="P83" s="17"/>
    </row>
    <row r="84" spans="2:16" hidden="1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17"/>
      <c r="M84" s="17"/>
      <c r="N84" s="17"/>
      <c r="O84" s="17"/>
      <c r="P84" s="17"/>
    </row>
    <row r="85" spans="2:16" hidden="1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17"/>
      <c r="M85" s="17"/>
      <c r="N85" s="17"/>
      <c r="O85" s="17"/>
      <c r="P85" s="17"/>
    </row>
    <row r="86" spans="2:16" hidden="1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17"/>
      <c r="M86" s="17"/>
      <c r="N86" s="17"/>
      <c r="O86" s="17"/>
      <c r="P86" s="17"/>
    </row>
    <row r="87" spans="2:16" hidden="1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17"/>
      <c r="M87" s="17"/>
      <c r="N87" s="17"/>
      <c r="O87" s="17"/>
      <c r="P87" s="17"/>
    </row>
    <row r="88" spans="2:16" hidden="1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17"/>
      <c r="M88" s="17"/>
      <c r="N88" s="17"/>
      <c r="O88" s="17"/>
      <c r="P88" s="17"/>
    </row>
    <row r="89" spans="2:16" hidden="1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17"/>
      <c r="M89" s="17"/>
      <c r="N89" s="17"/>
      <c r="O89" s="17"/>
      <c r="P89" s="17"/>
    </row>
    <row r="90" spans="2:16" hidden="1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17"/>
      <c r="M90" s="17"/>
      <c r="N90" s="17"/>
      <c r="O90" s="17"/>
      <c r="P90" s="17"/>
    </row>
    <row r="91" spans="2:16" hidden="1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17"/>
      <c r="M91" s="17"/>
      <c r="N91" s="17"/>
      <c r="O91" s="17"/>
      <c r="P91" s="17"/>
    </row>
    <row r="92" spans="2:16" hidden="1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17"/>
      <c r="M92" s="17"/>
      <c r="N92" s="17"/>
      <c r="O92" s="17"/>
      <c r="P92" s="17"/>
    </row>
    <row r="93" spans="2:16" hidden="1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17"/>
      <c r="M93" s="17"/>
      <c r="N93" s="17"/>
      <c r="O93" s="17"/>
      <c r="P93" s="17"/>
    </row>
    <row r="94" spans="2:16" hidden="1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17"/>
      <c r="M94" s="17"/>
      <c r="N94" s="17"/>
      <c r="O94" s="17"/>
      <c r="P94" s="17"/>
    </row>
    <row r="95" spans="2:16" hidden="1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17"/>
      <c r="M95" s="17"/>
      <c r="N95" s="17"/>
      <c r="O95" s="17"/>
      <c r="P95" s="17"/>
    </row>
    <row r="96" spans="2:16" hidden="1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17"/>
      <c r="M96" s="17"/>
      <c r="N96" s="17"/>
      <c r="O96" s="17"/>
      <c r="P96" s="17"/>
    </row>
    <row r="97" spans="2:16" hidden="1"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17"/>
      <c r="M97" s="17"/>
      <c r="N97" s="17"/>
      <c r="O97" s="17"/>
      <c r="P97" s="17"/>
    </row>
    <row r="98" spans="2:16" hidden="1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17"/>
      <c r="M98" s="17"/>
      <c r="N98" s="17"/>
      <c r="O98" s="17"/>
      <c r="P98" s="17"/>
    </row>
    <row r="99" spans="2:16" hidden="1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17"/>
      <c r="M99" s="17"/>
      <c r="N99" s="17"/>
      <c r="O99" s="17"/>
      <c r="P99" s="17"/>
    </row>
    <row r="100" spans="2:16" hidden="1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17"/>
      <c r="M100" s="17"/>
      <c r="N100" s="17"/>
      <c r="O100" s="17"/>
      <c r="P100" s="17"/>
    </row>
    <row r="101" spans="2:16" hidden="1"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17"/>
      <c r="M101" s="17"/>
      <c r="N101" s="17"/>
      <c r="O101" s="17"/>
      <c r="P101" s="17"/>
    </row>
    <row r="102" spans="2:16" hidden="1"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17"/>
      <c r="M102" s="17"/>
      <c r="N102" s="17"/>
      <c r="O102" s="17"/>
      <c r="P102" s="17"/>
    </row>
    <row r="103" spans="2:16" hidden="1"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17"/>
      <c r="M103" s="17"/>
      <c r="N103" s="17"/>
      <c r="O103" s="17"/>
      <c r="P103" s="17"/>
    </row>
    <row r="104" spans="2:16" hidden="1"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17"/>
      <c r="M104" s="17"/>
      <c r="N104" s="17"/>
      <c r="O104" s="17"/>
      <c r="P104" s="17"/>
    </row>
    <row r="105" spans="2:16" hidden="1"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17"/>
      <c r="M105" s="17"/>
      <c r="N105" s="17"/>
      <c r="O105" s="17"/>
      <c r="P105" s="17"/>
    </row>
    <row r="106" spans="2:16" hidden="1"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17"/>
      <c r="M106" s="17"/>
      <c r="N106" s="17"/>
      <c r="O106" s="17"/>
      <c r="P106" s="17"/>
    </row>
    <row r="107" spans="2:16" hidden="1"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17"/>
      <c r="M107" s="17"/>
      <c r="N107" s="17"/>
      <c r="O107" s="17"/>
      <c r="P107" s="17"/>
    </row>
    <row r="108" spans="2:16" hidden="1"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17"/>
      <c r="M108" s="17"/>
      <c r="N108" s="17"/>
      <c r="O108" s="17"/>
      <c r="P108" s="17"/>
    </row>
    <row r="109" spans="2:16" hidden="1"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17"/>
      <c r="M109" s="17"/>
      <c r="N109" s="17"/>
      <c r="O109" s="17"/>
      <c r="P109" s="17"/>
    </row>
    <row r="110" spans="2:16" hidden="1">
      <c r="B110" s="21"/>
      <c r="C110" s="21"/>
      <c r="D110" s="21"/>
      <c r="E110" s="21"/>
      <c r="F110" s="21"/>
      <c r="G110" s="21"/>
      <c r="H110" s="21"/>
      <c r="I110" s="21"/>
      <c r="J110" s="21"/>
      <c r="K110" s="17"/>
      <c r="L110" s="17"/>
      <c r="M110" s="17"/>
      <c r="N110" s="17"/>
      <c r="O110" s="17"/>
      <c r="P110" s="17"/>
    </row>
    <row r="111" spans="2:16" hidden="1">
      <c r="B111" s="17"/>
      <c r="C111" s="17"/>
      <c r="D111" s="17"/>
      <c r="E111" s="17"/>
      <c r="F111" s="17"/>
      <c r="G111" s="17"/>
      <c r="H111" s="17"/>
      <c r="I111" s="17"/>
      <c r="J111" s="17"/>
    </row>
  </sheetData>
  <sheetProtection selectLockedCells="1"/>
  <mergeCells count="1">
    <mergeCell ref="C2:H2"/>
  </mergeCells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Gabriele Oliveira</cp:lastModifiedBy>
  <dcterms:created xsi:type="dcterms:W3CDTF">2024-12-19T13:13:10Z</dcterms:created>
  <dcterms:modified xsi:type="dcterms:W3CDTF">2026-10-17T01:53:28Z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